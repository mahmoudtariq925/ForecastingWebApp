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offeeandtea.sharepoint.com/sites/treasury_reporting/Shared Documents/Collaboration/Mahmoud - Projects/Drafts/"/>
    </mc:Choice>
  </mc:AlternateContent>
  <xr:revisionPtr revIDLastSave="44" documentId="8_{488504FC-9410-4021-9BD6-0AADF6F12C31}" xr6:coauthVersionLast="47" xr6:coauthVersionMax="47" xr10:uidLastSave="{6AF6D89C-3A03-44FC-9403-22FDCF7A4E48}"/>
  <bookViews>
    <workbookView xWindow="12435" yWindow="-16335" windowWidth="29040" windowHeight="15720" xr2:uid="{AC839522-8AAC-495F-9383-0BD28B57A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1" l="1" a="1"/>
  <c r="X9" i="1" s="1"/>
  <c r="B28" i="1"/>
  <c r="C28" i="1"/>
  <c r="H29" i="1"/>
  <c r="G29" i="1"/>
  <c r="I29" i="1"/>
  <c r="J29" i="1"/>
  <c r="K29" i="1"/>
  <c r="L29" i="1"/>
  <c r="M29" i="1"/>
  <c r="P29" i="1"/>
  <c r="Q29" i="1"/>
  <c r="R29" i="1"/>
  <c r="S9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10" i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T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F29" i="1"/>
  <c r="D28" i="1" l="1"/>
  <c r="T10" i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S29" i="1" l="1"/>
  <c r="D10" i="1"/>
  <c r="D9" i="1"/>
  <c r="D11" i="1" l="1"/>
  <c r="D12" i="1" l="1"/>
  <c r="D13" i="1" l="1"/>
  <c r="D14" i="1" l="1"/>
  <c r="D15" i="1" l="1"/>
  <c r="D16" i="1" l="1"/>
  <c r="D17" i="1" l="1"/>
  <c r="D18" i="1" l="1"/>
  <c r="D19" i="1" l="1"/>
  <c r="D20" i="1" l="1"/>
  <c r="D21" i="1" l="1"/>
  <c r="D22" i="1" l="1"/>
  <c r="D23" i="1" l="1"/>
  <c r="D24" i="1" l="1"/>
  <c r="D25" i="1" l="1"/>
  <c r="D26" i="1" l="1"/>
  <c r="D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<sst xmlns="http://schemas.openxmlformats.org/spreadsheetml/2006/main" count="37" uniqueCount="37">
  <si>
    <t>Country</t>
  </si>
  <si>
    <t>Weekday</t>
  </si>
  <si>
    <t>Date</t>
  </si>
  <si>
    <t>Other</t>
  </si>
  <si>
    <t>Total</t>
  </si>
  <si>
    <t>TOTAL</t>
  </si>
  <si>
    <t>Receivables</t>
  </si>
  <si>
    <t>Payables</t>
  </si>
  <si>
    <t>Trade AR &amp; AP</t>
  </si>
  <si>
    <t>Other Taxes</t>
  </si>
  <si>
    <t>Salaries</t>
  </si>
  <si>
    <t>CAPEX</t>
  </si>
  <si>
    <t>IC Inflows</t>
  </si>
  <si>
    <t>IC Outflows</t>
  </si>
  <si>
    <t>Cash Flow Forecast</t>
  </si>
  <si>
    <t>Comments</t>
  </si>
  <si>
    <t>Corporate Income</t>
  </si>
  <si>
    <t>IC Settlements</t>
  </si>
  <si>
    <t>Starting balance</t>
  </si>
  <si>
    <t>Taxes</t>
  </si>
  <si>
    <t>Social Securities</t>
  </si>
  <si>
    <t>Payroll</t>
  </si>
  <si>
    <t xml:space="preserve">Running total </t>
  </si>
  <si>
    <t>Instructions:</t>
  </si>
  <si>
    <t>Currency</t>
  </si>
  <si>
    <t>dropdown</t>
  </si>
  <si>
    <t>1) Please prepare one aggregated forecast for all cash flows on the bank accounts/entities.</t>
  </si>
  <si>
    <t>Poland</t>
  </si>
  <si>
    <t>PLN</t>
  </si>
  <si>
    <t>IC Inflows - NL</t>
  </si>
  <si>
    <t>IC Outflows - NL</t>
  </si>
  <si>
    <t>2) IC INFLOWS (NL/OTHER) - NL represents all IC items due to/from the Netherlands and the rest is due to other countries.</t>
  </si>
  <si>
    <t>3) Please prepare the cashflow forecast in the currency of the local cash pool (specify the forecasting currency in the cell C9 of this sheet).</t>
  </si>
  <si>
    <t>4) Please enter the cash flow forecast As-Of date in cell E9.</t>
  </si>
  <si>
    <r>
      <t xml:space="preserve">5) Enter cash inflows as positive amounts and cash outflows as negative amounts in </t>
    </r>
    <r>
      <rPr>
        <u/>
        <sz val="16"/>
        <rFont val="Tw Cen MT Condensed"/>
        <family val="2"/>
      </rPr>
      <t>full amounts</t>
    </r>
    <r>
      <rPr>
        <sz val="16"/>
        <rFont val="Tw Cen MT Condensed"/>
        <family val="2"/>
      </rPr>
      <t>.</t>
    </r>
  </si>
  <si>
    <t>6) The cash flow forecast will be prepared/submitted to Corporate Treasury every end of the week, starting on the next Monday for a four week horizon.</t>
  </si>
  <si>
    <r>
      <t xml:space="preserve">7) Send the completed template to </t>
    </r>
    <r>
      <rPr>
        <u/>
        <sz val="16"/>
        <rFont val="Tw Cen MT Condensed"/>
        <family val="2"/>
      </rPr>
      <t>treasury.general@jdecoffee.com,</t>
    </r>
    <r>
      <rPr>
        <sz val="16"/>
        <rFont val="Tw Cen MT Condensed"/>
        <family val="2"/>
      </rPr>
      <t xml:space="preserve"> </t>
    </r>
    <r>
      <rPr>
        <u/>
        <sz val="16"/>
        <rFont val="Tw Cen MT Condensed"/>
        <family val="2"/>
      </rPr>
      <t>vladimir.danila@jdecoffee.com, mahmoud.faqir@jdecoffee.com.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</si>
</sst>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5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sz val="12"/>
      <color theme="1"/>
      <name val="Tw Cen MT Condensed"/>
      <family val="2"/>
    </font>
    <font>
      <b/>
      <sz val="12"/>
      <color theme="1"/>
      <name val="Tw Cen MT Condensed"/>
      <family val="2"/>
    </font>
    <font>
      <sz val="12"/>
      <name val="Tw Cen MT Condensed"/>
      <family val="2"/>
    </font>
    <font>
      <sz val="14"/>
      <color theme="1"/>
      <name val="Tw Cen MT Condensed"/>
      <family val="2"/>
    </font>
    <font>
      <b/>
      <sz val="14"/>
      <color theme="1"/>
      <name val="Tw Cen MT Condensed"/>
      <family val="2"/>
    </font>
    <font>
      <b/>
      <sz val="14"/>
      <color theme="0" tint="-4.9989318521683403E-2"/>
      <name val="Tw Cen MT Condensed"/>
      <family val="2"/>
    </font>
    <font>
      <sz val="14"/>
      <color theme="0" tint="-4.9989318521683403E-2"/>
      <name val="Tw Cen MT Condensed"/>
      <family val="2"/>
    </font>
    <font>
      <b/>
      <sz val="12"/>
      <color theme="9" tint="-0.499984740745262"/>
      <name val="Tw Cen MT Condensed"/>
      <family val="2"/>
    </font>
    <font>
      <b/>
      <sz val="20"/>
      <color theme="0" tint="-4.9989318521683403E-2"/>
      <name val="Tw Cen MT Condensed"/>
      <family val="2"/>
    </font>
    <font>
      <b/>
      <sz val="12"/>
      <color theme="9" tint="-0.249977111117893"/>
      <name val="Tw Cen MT Condensed"/>
      <family val="2"/>
    </font>
    <font>
      <b/>
      <u/>
      <sz val="12"/>
      <name val="Tahoma"/>
      <family val="2"/>
    </font>
    <font>
      <sz val="12"/>
      <name val="Tahoma"/>
      <family val="2"/>
    </font>
    <font>
      <sz val="12"/>
      <color theme="0" tint="-4.9989318521683403E-2"/>
      <name val="Tw Cen MT Condensed"/>
      <family val="2"/>
    </font>
    <font>
      <b/>
      <u/>
      <sz val="16"/>
      <name val="Tw Cen MT Condensed"/>
      <family val="2"/>
    </font>
    <font>
      <sz val="16"/>
      <name val="Tw Cen MT Condensed"/>
      <family val="2"/>
    </font>
    <font>
      <u/>
      <sz val="16"/>
      <name val="Tw Cen MT Condensed"/>
      <family val="2"/>
    </font>
    <font>
      <b/>
      <sz val="14"/>
      <color theme="9" tint="-0.249977111117893"/>
      <name val="Tw Cen MT Condensed"/>
      <family val="2"/>
    </font>
    <font>
      <b/>
      <sz val="13"/>
      <color theme="1"/>
      <name val="Tw Cen MT Condensed"/>
      <family val="2"/>
    </font>
    <font>
      <i/>
      <sz val="14"/>
      <color theme="1"/>
      <name val="Tw Cen MT Condensed"/>
      <family val="2"/>
    </font>
    <font>
      <i/>
      <sz val="12"/>
      <color theme="1"/>
      <name val="Tw Cen MT Condensed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5" fontId="8" fillId="0" borderId="4" xfId="0" applyNumberFormat="1" applyFont="1" applyBorder="1"/>
    <xf numFmtId="15" fontId="8" fillId="0" borderId="3" xfId="0" applyNumberFormat="1" applyFont="1" applyBorder="1"/>
    <xf numFmtId="15" fontId="8" fillId="0" borderId="5" xfId="0" applyNumberFormat="1" applyFont="1" applyBorder="1"/>
    <xf numFmtId="0" fontId="6" fillId="3" borderId="0" xfId="0" applyFont="1" applyFill="1" applyAlignment="1">
      <alignment horizontal="center" vertical="center"/>
    </xf>
    <xf numFmtId="165" fontId="2" fillId="0" borderId="13" xfId="0" applyNumberFormat="1" applyFont="1" applyBorder="1"/>
    <xf numFmtId="165" fontId="2" fillId="0" borderId="14" xfId="0" applyNumberFormat="1" applyFont="1" applyBorder="1"/>
    <xf numFmtId="14" fontId="3" fillId="0" borderId="0" xfId="0" applyNumberFormat="1" applyFont="1" applyAlignment="1">
      <alignment horizontal="center" vertical="center"/>
    </xf>
    <xf numFmtId="165" fontId="2" fillId="0" borderId="12" xfId="0" applyNumberFormat="1" applyFont="1" applyBorder="1"/>
    <xf numFmtId="165" fontId="2" fillId="0" borderId="16" xfId="0" applyNumberFormat="1" applyFont="1" applyBorder="1"/>
    <xf numFmtId="165" fontId="2" fillId="0" borderId="17" xfId="0" applyNumberFormat="1" applyFont="1" applyBorder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1" fillId="0" borderId="0" xfId="0" applyNumberFormat="1" applyFont="1"/>
    <xf numFmtId="0" fontId="7" fillId="5" borderId="0" xfId="0" applyFont="1" applyFill="1" applyAlignment="1">
      <alignment horizontal="center" vertical="center"/>
    </xf>
    <xf numFmtId="165" fontId="10" fillId="0" borderId="0" xfId="0" applyNumberFormat="1" applyFont="1"/>
    <xf numFmtId="0" fontId="1" fillId="0" borderId="0" xfId="0" quotePrefix="1" applyFont="1"/>
    <xf numFmtId="0" fontId="9" fillId="0" borderId="0" xfId="0" applyFont="1" applyAlignment="1">
      <alignment vertical="center"/>
    </xf>
    <xf numFmtId="0" fontId="5" fillId="0" borderId="8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11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14" fontId="13" fillId="0" borderId="0" xfId="0" applyNumberFormat="1" applyFont="1"/>
    <xf numFmtId="0" fontId="5" fillId="0" borderId="18" xfId="0" applyFont="1" applyBorder="1" applyAlignment="1">
      <alignment horizontal="centerContinuous"/>
    </xf>
    <xf numFmtId="0" fontId="6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Continuous" vertical="center"/>
    </xf>
    <xf numFmtId="0" fontId="3" fillId="4" borderId="0" xfId="0" applyFont="1" applyFill="1" applyAlignment="1" applyProtection="1">
      <alignment horizontal="center" vertical="center"/>
      <protection locked="0"/>
    </xf>
    <xf numFmtId="15" fontId="8" fillId="4" borderId="4" xfId="0" applyNumberFormat="1" applyFont="1" applyFill="1" applyBorder="1" applyProtection="1">
      <protection locked="0"/>
    </xf>
    <xf numFmtId="165" fontId="2" fillId="4" borderId="9" xfId="0" applyNumberFormat="1" applyFont="1" applyFill="1" applyBorder="1" applyProtection="1">
      <protection locked="0"/>
    </xf>
    <xf numFmtId="165" fontId="2" fillId="4" borderId="5" xfId="0" applyNumberFormat="1" applyFont="1" applyFill="1" applyBorder="1" applyProtection="1">
      <protection locked="0"/>
    </xf>
    <xf numFmtId="165" fontId="2" fillId="4" borderId="2" xfId="0" applyNumberFormat="1" applyFont="1" applyFill="1" applyBorder="1" applyProtection="1">
      <protection locked="0"/>
    </xf>
    <xf numFmtId="165" fontId="2" fillId="4" borderId="4" xfId="0" applyNumberFormat="1" applyFont="1" applyFill="1" applyBorder="1" applyProtection="1">
      <protection locked="0"/>
    </xf>
    <xf numFmtId="165" fontId="2" fillId="4" borderId="0" xfId="0" applyNumberFormat="1" applyFont="1" applyFill="1" applyProtection="1">
      <protection locked="0"/>
    </xf>
    <xf numFmtId="165" fontId="2" fillId="4" borderId="8" xfId="0" applyNumberFormat="1" applyFont="1" applyFill="1" applyBorder="1" applyProtection="1">
      <protection locked="0"/>
    </xf>
    <xf numFmtId="165" fontId="2" fillId="4" borderId="10" xfId="0" applyNumberFormat="1" applyFont="1" applyFill="1" applyBorder="1" applyProtection="1">
      <protection locked="0"/>
    </xf>
    <xf numFmtId="165" fontId="2" fillId="4" borderId="3" xfId="0" applyNumberFormat="1" applyFont="1" applyFill="1" applyBorder="1" applyProtection="1">
      <protection locked="0"/>
    </xf>
    <xf numFmtId="165" fontId="2" fillId="4" borderId="1" xfId="0" applyNumberFormat="1" applyFont="1" applyFill="1" applyBorder="1" applyProtection="1">
      <protection locked="0"/>
    </xf>
    <xf numFmtId="165" fontId="2" fillId="4" borderId="15" xfId="0" applyNumberFormat="1" applyFont="1" applyFill="1" applyBorder="1" applyProtection="1">
      <protection locked="0"/>
    </xf>
    <xf numFmtId="0" fontId="14" fillId="6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165" fontId="18" fillId="0" borderId="11" xfId="0" applyNumberFormat="1" applyFont="1" applyBorder="1"/>
    <xf numFmtId="165" fontId="17" fillId="4" borderId="11" xfId="0" applyNumberFormat="1" applyFont="1" applyFill="1" applyBorder="1" applyProtection="1">
      <protection locked="0"/>
    </xf>
    <xf numFmtId="0" fontId="19" fillId="0" borderId="0" xfId="0" quotePrefix="1" applyFont="1" applyAlignment="1">
      <alignment horizontal="center"/>
    </xf>
    <xf numFmtId="0" fontId="20" fillId="0" borderId="0" xfId="0" applyFont="1" applyAlignment="1">
      <alignment horizontal="center"/>
    </xf>
    <xf numFmtId="165" fontId="2" fillId="4" borderId="19" xfId="0" applyNumberFormat="1" applyFont="1" applyFill="1" applyBorder="1" applyProtection="1">
      <protection locked="0"/>
    </xf>
    <xf numFmtId="165" fontId="2" fillId="0" borderId="20" xfId="0" applyNumberFormat="1" applyFont="1" applyBorder="1"/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21">
    <dxf>
      <font>
        <color rgb="FFC00000"/>
      </font>
    </dxf>
    <dxf>
      <font>
        <color rgb="FF00B05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 style="medium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border diagonalUp="0" diagonalDown="0" outline="0">
        <left/>
        <right style="thin">
          <color indexed="64"/>
        </right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fill>
        <patternFill patternType="solid">
          <fgColor indexed="64"/>
          <bgColor rgb="FFFFFF99"/>
        </patternFill>
      </fill>
      <border diagonalUp="0" diagonalDown="0">
        <left style="thin">
          <color indexed="64"/>
        </left>
        <right/>
        <vertic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fill>
        <patternFill patternType="solid">
          <fgColor indexed="64"/>
          <bgColor rgb="FFFFFF99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fill>
        <patternFill patternType="solid">
          <fgColor indexed="64"/>
          <bgColor rgb="FFFFFF99"/>
        </patternFill>
      </fill>
      <border diagonalUp="0" diagonalDown="0" outline="0">
        <left/>
        <right style="thin">
          <color indexed="64"/>
        </right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border diagonalUp="0" diagonalDown="0" outline="0">
        <left/>
        <right style="thin">
          <color indexed="64"/>
        </right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border diagonalUp="0" diagonalDown="0" outline="0">
        <left/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 Condensed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w Cen MT Condensed"/>
        <family val="2"/>
        <scheme val="none"/>
      </font>
      <numFmt numFmtId="164" formatCode="dd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w Cen MT Condensed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w Cen MT Condensed"/>
        <family val="2"/>
        <scheme val="none"/>
      </font>
      <numFmt numFmtId="164" formatCode="dd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w Cen MT Condense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Tw Cen MT Condensed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sz="1600" b="1">
                <a:solidFill>
                  <a:schemeClr val="accent3"/>
                </a:solidFill>
                <a:latin typeface="Tw Cen MT Condensed" panose="020B0606020104020203" pitchFamily="34" charset="0"/>
              </a:rPr>
              <a:t>Running</a:t>
            </a:r>
            <a:r>
              <a:rPr lang="nl-NL" sz="1600" b="1" baseline="0">
                <a:solidFill>
                  <a:schemeClr val="accent3"/>
                </a:solidFill>
                <a:latin typeface="Tw Cen MT Condensed" panose="020B0606020104020203" pitchFamily="34" charset="0"/>
              </a:rPr>
              <a:t> Total Projection</a:t>
            </a:r>
            <a:endParaRPr lang="nl-NL" sz="1600" b="1">
              <a:solidFill>
                <a:schemeClr val="accent3"/>
              </a:solidFill>
              <a:latin typeface="Tw Cen MT Condensed" panose="020B06060201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7.6028983976159897E-2"/>
          <c:y val="0.10454660308508915"/>
          <c:w val="0.90006794504813159"/>
          <c:h val="0.820817030894637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Sheet1!$E$9:$E$28</c:f>
              <c:numCache>
                <c:formatCode>d\-mmm\-yy</c:formatCode>
                <c:ptCount val="20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46223</c:v>
                </c:pt>
                <c:pt idx="6">
                  <c:v>46224</c:v>
                </c:pt>
                <c:pt idx="7">
                  <c:v>46225</c:v>
                </c:pt>
                <c:pt idx="8">
                  <c:v>46226</c:v>
                </c:pt>
                <c:pt idx="9">
                  <c:v>46227</c:v>
                </c:pt>
                <c:pt idx="10">
                  <c:v>46230</c:v>
                </c:pt>
                <c:pt idx="11">
                  <c:v>46231</c:v>
                </c:pt>
                <c:pt idx="12">
                  <c:v>46232</c:v>
                </c:pt>
                <c:pt idx="13">
                  <c:v>46233</c:v>
                </c:pt>
                <c:pt idx="14">
                  <c:v>46234</c:v>
                </c:pt>
                <c:pt idx="15">
                  <c:v>46237</c:v>
                </c:pt>
                <c:pt idx="16">
                  <c:v>46238</c:v>
                </c:pt>
                <c:pt idx="17">
                  <c:v>46239</c:v>
                </c:pt>
                <c:pt idx="18">
                  <c:v>46240</c:v>
                </c:pt>
                <c:pt idx="19">
                  <c:v>46241</c:v>
                </c:pt>
              </c:numCache>
            </c:numRef>
          </c:cat>
          <c:val>
            <c:numRef>
              <c:f>Sheet1!$T$9:$T$28</c:f>
              <c:numCache>
                <c:formatCode>_(* #,##0_);_(* \(#,##0\);_(* "-"??_);_(@_)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1-4855-B03F-02327035E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226664"/>
        <c:axId val="1118224864"/>
      </c:lineChart>
      <c:dateAx>
        <c:axId val="111822666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1" i="0" u="none" strike="noStrike" kern="1200" baseline="0">
                <a:solidFill>
                  <a:schemeClr val="accent3"/>
                </a:solidFill>
                <a:latin typeface="Tw Cen MT Condensed" panose="020B0606020104020203" pitchFamily="34" charset="0"/>
                <a:ea typeface="+mn-ea"/>
                <a:cs typeface="+mn-cs"/>
              </a:defRPr>
            </a:pPr>
            <a:endParaRPr lang="nl-NL"/>
          </a:p>
        </c:txPr>
        <c:crossAx val="1118224864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111822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#,,\ &quot;M&quot;;[&lt;-999999]\(#,,\ &quot;M&quot;\)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3"/>
                </a:solidFill>
                <a:latin typeface="Tw Cen MT Condensed" panose="020B0606020104020203" pitchFamily="34" charset="0"/>
                <a:ea typeface="+mn-ea"/>
                <a:cs typeface="+mn-cs"/>
              </a:defRPr>
            </a:pPr>
            <a:endParaRPr lang="nl-NL"/>
          </a:p>
        </c:txPr>
        <c:crossAx val="1118226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1263907</xdr:colOff>
      <xdr:row>30</xdr:row>
      <xdr:rowOff>24638</xdr:rowOff>
    </xdr:from>
    <xdr:to>
      <xdr:col>19</xdr:col>
      <xdr:colOff>516246</xdr:colOff>
      <xdr:row>45</xdr:row>
      <xdr:rowOff>162918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0350FA-1812-0970-CED8-67887A229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7A6151-B832-4D8B-B893-319ECCA046B8}" name="CFForecast" displayName="CFForecast" ref="B8:R28" totalsRowShown="0" headerRowDxfId="20" dataDxfId="19">
  <tableColumns count="17">
    <tableColumn id="14" xr3:uid="{56AC14F2-46DF-401B-B1EC-95B5FC686BB2}" name="Country" dataDxfId="18"/>
    <tableColumn id="12" xr3:uid="{2193DCCB-9461-4B1C-AEA3-84F29A963CCE}" name="Currency" dataDxfId="17"/>
    <tableColumn id="1" xr3:uid="{CBF9DAC7-533F-4FFD-9FFC-BCEB4B42D5EA}" name="Weekday" dataDxfId="16">
      <calculatedColumnFormula>E9</calculatedColumnFormula>
    </tableColumn>
    <tableColumn id="2" xr3:uid="{10FB3F42-6714-41D2-945D-8F7C7DBF439A}" name="Date" dataDxfId="15">
      <calculatedColumnFormula>WORKDAY(E8,1)</calculatedColumnFormula>
    </tableColumn>
    <tableColumn id="3" xr3:uid="{816CE2DE-8BBC-46BB-AC54-78F224BABF99}" name="Receivables" dataDxfId="14"/>
    <tableColumn id="4" xr3:uid="{4B838086-F9D5-48D2-884E-21E06028B614}" name="Payables" dataDxfId="13"/>
    <tableColumn id="5" xr3:uid="{80CBC97B-2A9B-4F83-A230-CDBAAFE2ED0F}" name="Corporate Income" dataDxfId="12"/>
    <tableColumn id="6" xr3:uid="{6595CF6F-E04D-4445-838A-B2D53AEAEFAD}" name="Other Taxes" dataDxfId="11"/>
    <tableColumn id="7" xr3:uid="{69761FD3-D39E-4DCC-AA09-B6B202BCB703}" name="Salaries" dataDxfId="10"/>
    <tableColumn id="17" xr3:uid="{3FE681B0-1FC7-4654-9D68-83B16BB0F86C}" name="Social Securities" dataDxfId="9"/>
    <tableColumn id="8" xr3:uid="{71A6052D-CAEC-4A26-AD72-9152F1663EF8}" name="CAPEX" dataDxfId="8"/>
    <tableColumn id="9" xr3:uid="{3EBCD96F-9728-45C5-A075-BBD21BCA3EF3}" name="IC Inflows - NL" dataDxfId="7"/>
    <tableColumn id="15" xr3:uid="{5F533120-5BC5-4256-87CA-D6D65B10DC4A}" name="IC Outflows - NL" dataDxfId="6"/>
    <tableColumn id="13" xr3:uid="{9108D093-CC7A-4F2C-B066-583BC7D0C830}" name="IC Inflows" dataDxfId="5"/>
    <tableColumn id="10" xr3:uid="{E33F08FA-CF46-4C6D-A969-A10ED7F7E38E}" name="IC Outflows" dataDxfId="4"/>
    <tableColumn id="11" xr3:uid="{26D76EBD-41F3-4233-ADF7-06A276762092}" name="Other" dataDxfId="3"/>
    <tableColumn id="16" xr3:uid="{2CDA1403-E40A-4C49-A443-8E1928C78D1F}" name="Comments" dataDxfId="2"/>
  </tableColumns>
  <tableStyleInfo name="TableStyleLight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AF2F-DDE5-49D5-815A-895BB7EA6F92}">
  <sheetPr codeName="Sheet1"/>
  <dimension ref="A1:Z39"/>
  <sheetViews>
    <sheetView showGridLines="0" tabSelected="1" topLeftCell="B1" zoomScale="79" zoomScaleNormal="55" workbookViewId="0">
      <pane ySplit="8" topLeftCell="A9" activePane="bottomLeft" state="frozen"/>
      <selection pane="bottomLeft" activeCell="Q9" sqref="Q9"/>
    </sheetView>
  </sheetViews>
  <sheetFormatPr defaultRowHeight="15.5" outlineLevelCol="1" x14ac:dyDescent="0.35"/>
  <cols>
    <col min="1" max="1" width="8.7265625" style="1"/>
    <col min="2" max="3" width="17.54296875" style="1" customWidth="1"/>
    <col min="4" max="4" width="14.1796875" style="1" customWidth="1"/>
    <col min="5" max="5" width="15.6328125" style="1" customWidth="1"/>
    <col min="6" max="6" width="21.08984375" style="1" bestFit="1" customWidth="1"/>
    <col min="7" max="7" width="14.54296875" style="1" customWidth="1"/>
    <col min="8" max="8" width="19.6328125" style="1" customWidth="1"/>
    <col min="9" max="9" width="19.453125" style="1" customWidth="1"/>
    <col min="10" max="10" width="21.81640625" style="1" customWidth="1"/>
    <col min="11" max="11" width="18.7265625" style="1" customWidth="1"/>
    <col min="12" max="12" width="18.54296875" style="1" customWidth="1"/>
    <col min="13" max="13" width="15.6328125" style="1" customWidth="1"/>
    <col min="14" max="14" width="17.453125" style="1" bestFit="1" customWidth="1"/>
    <col min="15" max="15" width="15.6328125" style="1" customWidth="1"/>
    <col min="16" max="16" width="17" style="1" customWidth="1"/>
    <col min="17" max="17" width="19.453125" style="1" customWidth="1"/>
    <col min="18" max="18" width="21.6328125" style="1" customWidth="1"/>
    <col min="19" max="19" width="17.6328125" style="1" customWidth="1"/>
    <col min="20" max="20" width="19" style="1" customWidth="1"/>
    <col min="21" max="21" width="22.453125" style="1" customWidth="1"/>
    <col min="22" max="22" width="8.7265625" style="1"/>
    <col min="23" max="23" width="17.6328125" style="1" customWidth="1"/>
    <col min="24" max="24" width="18.26953125" style="1" hidden="1" customWidth="1" outlineLevel="1"/>
    <col min="25" max="25" width="19.1796875" style="1" hidden="1" customWidth="1" outlineLevel="1"/>
    <col min="26" max="26" width="8.7265625" style="1" collapsed="1"/>
    <col min="27" max="16384" width="8.7265625" style="1"/>
  </cols>
  <sheetData>
    <row r="1" spans="1:25" ht="26" thickBot="1" x14ac:dyDescent="0.4">
      <c r="A1" s="38" t="s">
        <v>14</v>
      </c>
      <c r="B1" s="38"/>
      <c r="C1" s="38"/>
      <c r="D1" s="30"/>
      <c r="E1" s="30"/>
      <c r="F1" s="30"/>
      <c r="G1" s="30"/>
      <c r="H1" s="30"/>
      <c r="I1" s="30"/>
      <c r="J1" s="30"/>
      <c r="K1" s="30"/>
      <c r="L1" s="30"/>
    </row>
    <row r="2" spans="1:25" ht="18" thickBot="1" x14ac:dyDescent="0.4">
      <c r="B2" s="2"/>
      <c r="C2" s="2"/>
      <c r="F2" s="23" t="s">
        <v>18</v>
      </c>
      <c r="G2" s="54"/>
      <c r="H2" s="55"/>
    </row>
    <row r="3" spans="1:25" ht="17.5" x14ac:dyDescent="0.35">
      <c r="B3" s="2"/>
      <c r="C3" s="2"/>
      <c r="F3" s="23"/>
      <c r="G3"/>
    </row>
    <row r="4" spans="1:25" x14ac:dyDescent="0.35">
      <c r="B4" s="2"/>
      <c r="C4" s="2"/>
    </row>
    <row r="5" spans="1:25" x14ac:dyDescent="0.35">
      <c r="B5" s="2"/>
      <c r="C5" s="2"/>
    </row>
    <row r="6" spans="1:25" x14ac:dyDescent="0.35">
      <c r="B6" s="2"/>
      <c r="C6" s="2"/>
      <c r="H6" s="29"/>
      <c r="J6" s="29"/>
    </row>
    <row r="7" spans="1:25" ht="17.5" x14ac:dyDescent="0.35">
      <c r="E7" s="56" t="s">
        <v>25</v>
      </c>
      <c r="F7" s="31" t="s">
        <v>8</v>
      </c>
      <c r="G7" s="32"/>
      <c r="H7" s="31" t="s">
        <v>19</v>
      </c>
      <c r="I7" s="31"/>
      <c r="J7" s="31" t="s">
        <v>21</v>
      </c>
      <c r="K7" s="36"/>
      <c r="M7" s="60" t="s">
        <v>17</v>
      </c>
      <c r="N7" s="61"/>
      <c r="O7" s="61"/>
      <c r="P7" s="62"/>
      <c r="R7" s="2"/>
      <c r="S7" s="59"/>
      <c r="T7" s="59"/>
      <c r="U7" s="59"/>
      <c r="V7" s="59"/>
      <c r="W7" s="59"/>
      <c r="X7" s="59"/>
      <c r="Y7" s="2"/>
    </row>
    <row r="8" spans="1:25" s="6" customFormat="1" ht="20.5" customHeight="1" thickBot="1" x14ac:dyDescent="0.4">
      <c r="B8" s="12" t="s">
        <v>0</v>
      </c>
      <c r="C8" s="12" t="s">
        <v>24</v>
      </c>
      <c r="D8" s="16" t="s">
        <v>1</v>
      </c>
      <c r="E8" s="16" t="s">
        <v>2</v>
      </c>
      <c r="F8" s="8" t="s">
        <v>6</v>
      </c>
      <c r="G8" s="9" t="s">
        <v>7</v>
      </c>
      <c r="H8" s="8" t="s">
        <v>16</v>
      </c>
      <c r="I8" s="11" t="s">
        <v>9</v>
      </c>
      <c r="J8" s="10" t="s">
        <v>10</v>
      </c>
      <c r="K8" s="11" t="s">
        <v>20</v>
      </c>
      <c r="L8" s="11" t="s">
        <v>11</v>
      </c>
      <c r="M8" s="7" t="s">
        <v>29</v>
      </c>
      <c r="N8" s="7" t="s">
        <v>30</v>
      </c>
      <c r="O8" s="10" t="s">
        <v>12</v>
      </c>
      <c r="P8" s="37" t="s">
        <v>13</v>
      </c>
      <c r="Q8" s="7" t="s">
        <v>3</v>
      </c>
      <c r="R8" s="7" t="s">
        <v>15</v>
      </c>
      <c r="S8" s="16" t="s">
        <v>4</v>
      </c>
      <c r="T8" s="27" t="s">
        <v>22</v>
      </c>
    </row>
    <row r="9" spans="1:25" x14ac:dyDescent="0.35">
      <c r="B9" s="39" t="s">
        <v>27</v>
      </c>
      <c r="C9" s="39" t="s">
        <v>28</v>
      </c>
      <c r="D9" s="3">
        <f>E9</f>
        <v>46216</v>
      </c>
      <c r="E9" s="40">
        <v>46216</v>
      </c>
      <c r="F9" s="41"/>
      <c r="G9" s="42"/>
      <c r="H9" s="43"/>
      <c r="I9" s="42"/>
      <c r="J9" s="41"/>
      <c r="K9" s="44"/>
      <c r="L9" s="42"/>
      <c r="M9" s="43"/>
      <c r="N9" s="43"/>
      <c r="O9" s="41"/>
      <c r="P9" s="42"/>
      <c r="Q9" s="43"/>
      <c r="R9" s="45"/>
      <c r="S9" s="17">
        <f>SUM(CFForecast[[#This Row],[Receivables]:[Other]])</f>
        <v>0</v>
      </c>
      <c r="T9" s="17">
        <f>G2+S9</f>
        <v>0</v>
      </c>
      <c r="X9" s="35" cm="1">
        <f t="array" aca="1" ref="X9:X13" ca="1">_xlfn.SEQUENCE(5,, TODAY() + IF(WEEKDAY(TODAY(), 2)=1, 0, 8 - WEEKDAY(TODAY(), 2)) - 7, 7)</f>
        <v>46216</v>
      </c>
    </row>
    <row r="10" spans="1:25" x14ac:dyDescent="0.35">
      <c r="B10" s="24" t="str">
        <f>$B$9</f>
        <v>Poland</v>
      </c>
      <c r="C10" s="24" t="str">
        <f>$C$9</f>
        <v>PLN</v>
      </c>
      <c r="D10" s="3">
        <f t="shared" ref="D10:D28" si="0">E10</f>
        <v>46217</v>
      </c>
      <c r="E10" s="13">
        <f>WORKDAY(E9,1)</f>
        <v>46217</v>
      </c>
      <c r="F10" s="46"/>
      <c r="G10" s="44"/>
      <c r="H10" s="45"/>
      <c r="I10" s="44"/>
      <c r="J10" s="46"/>
      <c r="K10" s="44"/>
      <c r="L10" s="44"/>
      <c r="M10" s="45"/>
      <c r="N10" s="45"/>
      <c r="O10" s="46"/>
      <c r="P10" s="44"/>
      <c r="Q10" s="45"/>
      <c r="R10" s="45"/>
      <c r="S10" s="18">
        <f>SUM(CFForecast[[#This Row],[Receivables]:[Other]])</f>
        <v>0</v>
      </c>
      <c r="T10" s="18">
        <f>T9+S10</f>
        <v>0</v>
      </c>
      <c r="X10" s="35">
        <f ca="1"/>
        <v>46223</v>
      </c>
    </row>
    <row r="11" spans="1:25" x14ac:dyDescent="0.35">
      <c r="B11" s="24" t="str">
        <f t="shared" ref="B11:B28" si="1">$B$9</f>
        <v>Poland</v>
      </c>
      <c r="C11" s="24" t="str">
        <f t="shared" ref="C11:C28" si="2">$C$9</f>
        <v>PLN</v>
      </c>
      <c r="D11" s="3">
        <f t="shared" si="0"/>
        <v>46218</v>
      </c>
      <c r="E11" s="13">
        <f t="shared" ref="E11:E28" si="3">WORKDAY(E10,1)</f>
        <v>46218</v>
      </c>
      <c r="F11" s="46"/>
      <c r="G11" s="44"/>
      <c r="H11" s="45"/>
      <c r="I11" s="44"/>
      <c r="J11" s="46"/>
      <c r="K11" s="44"/>
      <c r="L11" s="44"/>
      <c r="M11" s="45"/>
      <c r="N11" s="45"/>
      <c r="O11" s="46"/>
      <c r="P11" s="44"/>
      <c r="Q11" s="45"/>
      <c r="R11" s="45"/>
      <c r="S11" s="18">
        <f>SUM(CFForecast[[#This Row],[Receivables]:[Other]])</f>
        <v>0</v>
      </c>
      <c r="T11" s="18">
        <f t="shared" ref="T11:T27" si="4">T10+S11</f>
        <v>0</v>
      </c>
      <c r="X11" s="35">
        <f ca="1"/>
        <v>46230</v>
      </c>
    </row>
    <row r="12" spans="1:25" x14ac:dyDescent="0.35">
      <c r="B12" s="24" t="str">
        <f t="shared" si="1"/>
        <v>Poland</v>
      </c>
      <c r="C12" s="24" t="str">
        <f t="shared" si="2"/>
        <v>PLN</v>
      </c>
      <c r="D12" s="3">
        <f t="shared" si="0"/>
        <v>46219</v>
      </c>
      <c r="E12" s="13">
        <f t="shared" si="3"/>
        <v>46219</v>
      </c>
      <c r="F12" s="46"/>
      <c r="G12" s="44"/>
      <c r="H12" s="45"/>
      <c r="I12" s="44"/>
      <c r="J12" s="46"/>
      <c r="K12" s="44"/>
      <c r="L12" s="44"/>
      <c r="M12" s="45"/>
      <c r="N12" s="45"/>
      <c r="O12" s="46"/>
      <c r="P12" s="44"/>
      <c r="Q12" s="45"/>
      <c r="R12" s="45"/>
      <c r="S12" s="18">
        <f>SUM(CFForecast[[#This Row],[Receivables]:[Other]])</f>
        <v>0</v>
      </c>
      <c r="T12" s="18">
        <f t="shared" si="4"/>
        <v>0</v>
      </c>
      <c r="X12" s="35">
        <f ca="1"/>
        <v>46237</v>
      </c>
    </row>
    <row r="13" spans="1:25" x14ac:dyDescent="0.35">
      <c r="B13" s="25" t="str">
        <f t="shared" si="1"/>
        <v>Poland</v>
      </c>
      <c r="C13" s="25" t="str">
        <f t="shared" si="2"/>
        <v>PLN</v>
      </c>
      <c r="D13" s="4">
        <f t="shared" si="0"/>
        <v>46220</v>
      </c>
      <c r="E13" s="14">
        <f t="shared" si="3"/>
        <v>46220</v>
      </c>
      <c r="F13" s="47"/>
      <c r="G13" s="48"/>
      <c r="H13" s="49"/>
      <c r="I13" s="48"/>
      <c r="J13" s="47"/>
      <c r="K13" s="48"/>
      <c r="L13" s="48"/>
      <c r="M13" s="49"/>
      <c r="N13" s="49"/>
      <c r="O13" s="47"/>
      <c r="P13" s="48"/>
      <c r="Q13" s="47"/>
      <c r="R13" s="50"/>
      <c r="S13" s="18">
        <f>SUM(CFForecast[[#This Row],[Receivables]:[Other]])</f>
        <v>0</v>
      </c>
      <c r="T13" s="18">
        <f t="shared" si="4"/>
        <v>0</v>
      </c>
      <c r="X13" s="35">
        <f ca="1"/>
        <v>46244</v>
      </c>
    </row>
    <row r="14" spans="1:25" x14ac:dyDescent="0.35">
      <c r="B14" s="24" t="str">
        <f t="shared" si="1"/>
        <v>Poland</v>
      </c>
      <c r="C14" s="24" t="str">
        <f t="shared" si="2"/>
        <v>PLN</v>
      </c>
      <c r="D14" s="5">
        <f t="shared" si="0"/>
        <v>46223</v>
      </c>
      <c r="E14" s="15">
        <f t="shared" si="3"/>
        <v>46223</v>
      </c>
      <c r="F14" s="41"/>
      <c r="G14" s="42"/>
      <c r="H14" s="43"/>
      <c r="I14" s="42"/>
      <c r="J14" s="41"/>
      <c r="K14" s="44"/>
      <c r="L14" s="42"/>
      <c r="M14" s="43"/>
      <c r="N14" s="43"/>
      <c r="O14" s="41"/>
      <c r="P14" s="42"/>
      <c r="Q14" s="45"/>
      <c r="R14" s="45"/>
      <c r="S14" s="18">
        <f>SUM(CFForecast[[#This Row],[Receivables]:[Other]])</f>
        <v>0</v>
      </c>
      <c r="T14" s="18">
        <f t="shared" si="4"/>
        <v>0</v>
      </c>
    </row>
    <row r="15" spans="1:25" x14ac:dyDescent="0.35">
      <c r="B15" s="24" t="str">
        <f t="shared" si="1"/>
        <v>Poland</v>
      </c>
      <c r="C15" s="24" t="str">
        <f t="shared" si="2"/>
        <v>PLN</v>
      </c>
      <c r="D15" s="3">
        <f t="shared" si="0"/>
        <v>46224</v>
      </c>
      <c r="E15" s="13">
        <f t="shared" si="3"/>
        <v>46224</v>
      </c>
      <c r="F15" s="46"/>
      <c r="G15" s="44"/>
      <c r="H15" s="45"/>
      <c r="I15" s="44"/>
      <c r="J15" s="46"/>
      <c r="K15" s="44"/>
      <c r="L15" s="44"/>
      <c r="M15" s="45"/>
      <c r="N15" s="45"/>
      <c r="O15" s="46"/>
      <c r="P15" s="44"/>
      <c r="Q15" s="45"/>
      <c r="R15" s="45"/>
      <c r="S15" s="18">
        <f>SUM(CFForecast[[#This Row],[Receivables]:[Other]])</f>
        <v>0</v>
      </c>
      <c r="T15" s="18">
        <f t="shared" si="4"/>
        <v>0</v>
      </c>
    </row>
    <row r="16" spans="1:25" x14ac:dyDescent="0.35">
      <c r="B16" s="24" t="str">
        <f t="shared" si="1"/>
        <v>Poland</v>
      </c>
      <c r="C16" s="24" t="str">
        <f t="shared" si="2"/>
        <v>PLN</v>
      </c>
      <c r="D16" s="3">
        <f t="shared" si="0"/>
        <v>46225</v>
      </c>
      <c r="E16" s="13">
        <f t="shared" si="3"/>
        <v>46225</v>
      </c>
      <c r="F16" s="46"/>
      <c r="G16" s="44"/>
      <c r="H16" s="45"/>
      <c r="I16" s="44"/>
      <c r="J16" s="46"/>
      <c r="K16" s="44"/>
      <c r="L16" s="44"/>
      <c r="M16" s="45"/>
      <c r="N16" s="45"/>
      <c r="O16" s="46"/>
      <c r="P16" s="44"/>
      <c r="Q16" s="45"/>
      <c r="R16" s="45"/>
      <c r="S16" s="18">
        <f>SUM(CFForecast[[#This Row],[Receivables]:[Other]])</f>
        <v>0</v>
      </c>
      <c r="T16" s="18">
        <f t="shared" si="4"/>
        <v>0</v>
      </c>
    </row>
    <row r="17" spans="2:21" x14ac:dyDescent="0.35">
      <c r="B17" s="24" t="str">
        <f t="shared" si="1"/>
        <v>Poland</v>
      </c>
      <c r="C17" s="24" t="str">
        <f t="shared" si="2"/>
        <v>PLN</v>
      </c>
      <c r="D17" s="3">
        <f t="shared" si="0"/>
        <v>46226</v>
      </c>
      <c r="E17" s="13">
        <f t="shared" si="3"/>
        <v>46226</v>
      </c>
      <c r="F17" s="46"/>
      <c r="G17" s="44"/>
      <c r="H17" s="45"/>
      <c r="I17" s="44"/>
      <c r="J17" s="46"/>
      <c r="K17" s="44"/>
      <c r="L17" s="44"/>
      <c r="M17" s="45"/>
      <c r="N17" s="45"/>
      <c r="O17" s="46"/>
      <c r="P17" s="44"/>
      <c r="Q17" s="45"/>
      <c r="R17" s="45"/>
      <c r="S17" s="18">
        <f>SUM(CFForecast[[#This Row],[Receivables]:[Other]])</f>
        <v>0</v>
      </c>
      <c r="T17" s="18">
        <f t="shared" si="4"/>
        <v>0</v>
      </c>
    </row>
    <row r="18" spans="2:21" x14ac:dyDescent="0.35">
      <c r="B18" s="25" t="str">
        <f t="shared" si="1"/>
        <v>Poland</v>
      </c>
      <c r="C18" s="25" t="str">
        <f t="shared" si="2"/>
        <v>PLN</v>
      </c>
      <c r="D18" s="4">
        <f t="shared" si="0"/>
        <v>46227</v>
      </c>
      <c r="E18" s="14">
        <f t="shared" si="3"/>
        <v>46227</v>
      </c>
      <c r="F18" s="47"/>
      <c r="G18" s="48"/>
      <c r="H18" s="49"/>
      <c r="I18" s="48"/>
      <c r="J18" s="47"/>
      <c r="K18" s="48"/>
      <c r="L18" s="48"/>
      <c r="M18" s="49"/>
      <c r="N18" s="49"/>
      <c r="O18" s="47"/>
      <c r="P18" s="48"/>
      <c r="Q18" s="47"/>
      <c r="R18" s="50"/>
      <c r="S18" s="18">
        <f>SUM(CFForecast[[#This Row],[Receivables]:[Other]])</f>
        <v>0</v>
      </c>
      <c r="T18" s="18">
        <f t="shared" si="4"/>
        <v>0</v>
      </c>
    </row>
    <row r="19" spans="2:21" x14ac:dyDescent="0.35">
      <c r="B19" s="24" t="str">
        <f t="shared" si="1"/>
        <v>Poland</v>
      </c>
      <c r="C19" s="24" t="str">
        <f t="shared" si="2"/>
        <v>PLN</v>
      </c>
      <c r="D19" s="5">
        <f t="shared" si="0"/>
        <v>46230</v>
      </c>
      <c r="E19" s="15">
        <f t="shared" si="3"/>
        <v>46230</v>
      </c>
      <c r="F19" s="41"/>
      <c r="G19" s="42"/>
      <c r="H19" s="43"/>
      <c r="I19" s="42"/>
      <c r="J19" s="41"/>
      <c r="K19" s="44"/>
      <c r="L19" s="42"/>
      <c r="M19" s="43"/>
      <c r="N19" s="43"/>
      <c r="O19" s="41"/>
      <c r="P19" s="42"/>
      <c r="Q19" s="45"/>
      <c r="R19" s="45"/>
      <c r="S19" s="18">
        <f>SUM(CFForecast[[#This Row],[Receivables]:[Other]])</f>
        <v>0</v>
      </c>
      <c r="T19" s="18">
        <f t="shared" si="4"/>
        <v>0</v>
      </c>
    </row>
    <row r="20" spans="2:21" x14ac:dyDescent="0.35">
      <c r="B20" s="24" t="str">
        <f t="shared" si="1"/>
        <v>Poland</v>
      </c>
      <c r="C20" s="24" t="str">
        <f t="shared" si="2"/>
        <v>PLN</v>
      </c>
      <c r="D20" s="3">
        <f t="shared" si="0"/>
        <v>46231</v>
      </c>
      <c r="E20" s="13">
        <f t="shared" si="3"/>
        <v>46231</v>
      </c>
      <c r="F20" s="46"/>
      <c r="G20" s="44"/>
      <c r="H20" s="45"/>
      <c r="I20" s="44"/>
      <c r="J20" s="46"/>
      <c r="K20" s="44"/>
      <c r="L20" s="44"/>
      <c r="M20" s="45"/>
      <c r="N20" s="45"/>
      <c r="O20" s="46"/>
      <c r="P20" s="44"/>
      <c r="Q20" s="45"/>
      <c r="R20" s="45"/>
      <c r="S20" s="18">
        <f>SUM(CFForecast[[#This Row],[Receivables]:[Other]])</f>
        <v>0</v>
      </c>
      <c r="T20" s="18">
        <f t="shared" si="4"/>
        <v>0</v>
      </c>
    </row>
    <row r="21" spans="2:21" x14ac:dyDescent="0.35">
      <c r="B21" s="24" t="str">
        <f t="shared" si="1"/>
        <v>Poland</v>
      </c>
      <c r="C21" s="24" t="str">
        <f t="shared" si="2"/>
        <v>PLN</v>
      </c>
      <c r="D21" s="3">
        <f t="shared" si="0"/>
        <v>46232</v>
      </c>
      <c r="E21" s="13">
        <f t="shared" si="3"/>
        <v>46232</v>
      </c>
      <c r="F21" s="46"/>
      <c r="G21" s="44"/>
      <c r="H21" s="45"/>
      <c r="I21" s="44"/>
      <c r="J21" s="46"/>
      <c r="K21" s="44"/>
      <c r="L21" s="44"/>
      <c r="M21" s="45"/>
      <c r="N21" s="45"/>
      <c r="O21" s="46"/>
      <c r="P21" s="44"/>
      <c r="Q21" s="45"/>
      <c r="R21" s="45"/>
      <c r="S21" s="18">
        <f>SUM(CFForecast[[#This Row],[Receivables]:[Other]])</f>
        <v>0</v>
      </c>
      <c r="T21" s="18">
        <f t="shared" si="4"/>
        <v>0</v>
      </c>
    </row>
    <row r="22" spans="2:21" x14ac:dyDescent="0.35">
      <c r="B22" s="24" t="str">
        <f t="shared" si="1"/>
        <v>Poland</v>
      </c>
      <c r="C22" s="24" t="str">
        <f t="shared" si="2"/>
        <v>PLN</v>
      </c>
      <c r="D22" s="3">
        <f t="shared" si="0"/>
        <v>46233</v>
      </c>
      <c r="E22" s="13">
        <f t="shared" si="3"/>
        <v>46233</v>
      </c>
      <c r="F22" s="46"/>
      <c r="G22" s="44"/>
      <c r="H22" s="45"/>
      <c r="I22" s="44"/>
      <c r="J22" s="46"/>
      <c r="K22" s="44"/>
      <c r="L22" s="44"/>
      <c r="M22" s="45"/>
      <c r="N22" s="45"/>
      <c r="O22" s="46"/>
      <c r="P22" s="44"/>
      <c r="Q22" s="45"/>
      <c r="R22" s="45"/>
      <c r="S22" s="18">
        <f>SUM(CFForecast[[#This Row],[Receivables]:[Other]])</f>
        <v>0</v>
      </c>
      <c r="T22" s="18">
        <f t="shared" si="4"/>
        <v>0</v>
      </c>
    </row>
    <row r="23" spans="2:21" x14ac:dyDescent="0.35">
      <c r="B23" s="25" t="str">
        <f t="shared" si="1"/>
        <v>Poland</v>
      </c>
      <c r="C23" s="25" t="str">
        <f t="shared" si="2"/>
        <v>PLN</v>
      </c>
      <c r="D23" s="4">
        <f t="shared" si="0"/>
        <v>46234</v>
      </c>
      <c r="E23" s="14">
        <f t="shared" si="3"/>
        <v>46234</v>
      </c>
      <c r="F23" s="47"/>
      <c r="G23" s="48"/>
      <c r="H23" s="49"/>
      <c r="I23" s="48"/>
      <c r="J23" s="47"/>
      <c r="K23" s="48"/>
      <c r="L23" s="48"/>
      <c r="M23" s="49"/>
      <c r="N23" s="49"/>
      <c r="O23" s="47"/>
      <c r="P23" s="48"/>
      <c r="Q23" s="49"/>
      <c r="R23" s="50"/>
      <c r="S23" s="18">
        <f>SUM(CFForecast[[#This Row],[Receivables]:[Other]])</f>
        <v>0</v>
      </c>
      <c r="T23" s="18">
        <f t="shared" si="4"/>
        <v>0</v>
      </c>
    </row>
    <row r="24" spans="2:21" x14ac:dyDescent="0.35">
      <c r="B24" s="24" t="str">
        <f t="shared" si="1"/>
        <v>Poland</v>
      </c>
      <c r="C24" s="24" t="str">
        <f t="shared" si="2"/>
        <v>PLN</v>
      </c>
      <c r="D24" s="5">
        <f t="shared" si="0"/>
        <v>46237</v>
      </c>
      <c r="E24" s="15">
        <f t="shared" si="3"/>
        <v>46237</v>
      </c>
      <c r="F24" s="41"/>
      <c r="G24" s="42"/>
      <c r="H24" s="43"/>
      <c r="I24" s="42"/>
      <c r="J24" s="41"/>
      <c r="K24" s="44"/>
      <c r="L24" s="42"/>
      <c r="M24" s="43"/>
      <c r="N24" s="43"/>
      <c r="O24" s="41"/>
      <c r="P24" s="42"/>
      <c r="Q24" s="43"/>
      <c r="R24" s="45"/>
      <c r="S24" s="18">
        <f>SUM(CFForecast[[#This Row],[Receivables]:[Other]])</f>
        <v>0</v>
      </c>
      <c r="T24" s="18">
        <f t="shared" si="4"/>
        <v>0</v>
      </c>
    </row>
    <row r="25" spans="2:21" x14ac:dyDescent="0.35">
      <c r="B25" s="24" t="str">
        <f t="shared" si="1"/>
        <v>Poland</v>
      </c>
      <c r="C25" s="24" t="str">
        <f t="shared" si="2"/>
        <v>PLN</v>
      </c>
      <c r="D25" s="3">
        <f t="shared" si="0"/>
        <v>46238</v>
      </c>
      <c r="E25" s="13">
        <f t="shared" si="3"/>
        <v>46238</v>
      </c>
      <c r="F25" s="46"/>
      <c r="G25" s="44"/>
      <c r="H25" s="45"/>
      <c r="I25" s="44"/>
      <c r="J25" s="46"/>
      <c r="K25" s="44"/>
      <c r="L25" s="44"/>
      <c r="M25" s="45"/>
      <c r="N25" s="45"/>
      <c r="O25" s="46"/>
      <c r="P25" s="44"/>
      <c r="Q25" s="45"/>
      <c r="R25" s="45"/>
      <c r="S25" s="18">
        <f>SUM(CFForecast[[#This Row],[Receivables]:[Other]])</f>
        <v>0</v>
      </c>
      <c r="T25" s="18">
        <f t="shared" si="4"/>
        <v>0</v>
      </c>
    </row>
    <row r="26" spans="2:21" x14ac:dyDescent="0.35">
      <c r="B26" s="24" t="str">
        <f t="shared" si="1"/>
        <v>Poland</v>
      </c>
      <c r="C26" s="24" t="str">
        <f t="shared" si="2"/>
        <v>PLN</v>
      </c>
      <c r="D26" s="3">
        <f t="shared" si="0"/>
        <v>46239</v>
      </c>
      <c r="E26" s="13">
        <f t="shared" si="3"/>
        <v>46239</v>
      </c>
      <c r="F26" s="46"/>
      <c r="G26" s="44"/>
      <c r="H26" s="45"/>
      <c r="I26" s="44"/>
      <c r="J26" s="46"/>
      <c r="K26" s="44"/>
      <c r="L26" s="44"/>
      <c r="M26" s="45"/>
      <c r="N26" s="45"/>
      <c r="O26" s="46"/>
      <c r="P26" s="44"/>
      <c r="Q26" s="45"/>
      <c r="R26" s="45"/>
      <c r="S26" s="18">
        <f>SUM(CFForecast[[#This Row],[Receivables]:[Other]])</f>
        <v>0</v>
      </c>
      <c r="T26" s="18">
        <f t="shared" si="4"/>
        <v>0</v>
      </c>
    </row>
    <row r="27" spans="2:21" x14ac:dyDescent="0.35">
      <c r="B27" s="24" t="str">
        <f t="shared" si="1"/>
        <v>Poland</v>
      </c>
      <c r="C27" s="24" t="str">
        <f t="shared" si="2"/>
        <v>PLN</v>
      </c>
      <c r="D27" s="3">
        <f t="shared" si="0"/>
        <v>46240</v>
      </c>
      <c r="E27" s="13">
        <f t="shared" si="3"/>
        <v>46240</v>
      </c>
      <c r="F27" s="46"/>
      <c r="G27" s="44"/>
      <c r="H27" s="45"/>
      <c r="I27" s="44"/>
      <c r="J27" s="46"/>
      <c r="K27" s="44"/>
      <c r="L27" s="45"/>
      <c r="M27" s="46"/>
      <c r="N27" s="45"/>
      <c r="O27" s="46"/>
      <c r="P27" s="45"/>
      <c r="Q27" s="46"/>
      <c r="R27" s="45"/>
      <c r="S27" s="18">
        <f>SUM(CFForecast[[#This Row],[Receivables]:[Other]])</f>
        <v>0</v>
      </c>
      <c r="T27" s="18">
        <f t="shared" si="4"/>
        <v>0</v>
      </c>
    </row>
    <row r="28" spans="2:21" ht="16" thickBot="1" x14ac:dyDescent="0.4">
      <c r="B28" s="25" t="str">
        <f t="shared" si="1"/>
        <v>Poland</v>
      </c>
      <c r="C28" s="25" t="str">
        <f t="shared" si="2"/>
        <v>PLN</v>
      </c>
      <c r="D28" s="4">
        <f t="shared" si="0"/>
        <v>46241</v>
      </c>
      <c r="E28" s="14">
        <f t="shared" si="3"/>
        <v>46241</v>
      </c>
      <c r="F28" s="47"/>
      <c r="G28" s="48"/>
      <c r="H28" s="49"/>
      <c r="I28" s="48"/>
      <c r="J28" s="47"/>
      <c r="K28" s="48"/>
      <c r="L28" s="57"/>
      <c r="M28" s="49"/>
      <c r="N28" s="49"/>
      <c r="O28" s="47"/>
      <c r="P28" s="49"/>
      <c r="Q28" s="47"/>
      <c r="R28" s="50"/>
      <c r="S28" s="18"/>
      <c r="T28" s="18"/>
    </row>
    <row r="29" spans="2:21" ht="18" thickBot="1" x14ac:dyDescent="0.4">
      <c r="B29" s="3"/>
      <c r="C29" s="3"/>
      <c r="D29" s="19"/>
      <c r="E29" s="16" t="s">
        <v>5</v>
      </c>
      <c r="F29" s="20">
        <f t="shared" ref="F29:M29" si="5">SUM(F9:F28)</f>
        <v>0</v>
      </c>
      <c r="G29" s="22">
        <f t="shared" si="5"/>
        <v>0</v>
      </c>
      <c r="H29" s="20">
        <f t="shared" si="5"/>
        <v>0</v>
      </c>
      <c r="I29" s="21">
        <f t="shared" si="5"/>
        <v>0</v>
      </c>
      <c r="J29" s="20">
        <f t="shared" si="5"/>
        <v>0</v>
      </c>
      <c r="K29" s="21">
        <f t="shared" si="5"/>
        <v>0</v>
      </c>
      <c r="L29" s="20">
        <f t="shared" si="5"/>
        <v>0</v>
      </c>
      <c r="M29" s="20">
        <f t="shared" si="5"/>
        <v>0</v>
      </c>
      <c r="N29" s="21"/>
      <c r="O29" s="58"/>
      <c r="P29" s="22">
        <f>SUM(P9:P28)</f>
        <v>0</v>
      </c>
      <c r="Q29" s="20">
        <f>SUM(Q9:Q28)</f>
        <v>0</v>
      </c>
      <c r="R29" s="22">
        <f>SUM(R9:R28)</f>
        <v>0</v>
      </c>
      <c r="S29" s="53">
        <f>SUM(F29:R29)</f>
        <v>0</v>
      </c>
      <c r="U29" s="26"/>
    </row>
    <row r="32" spans="2:21" ht="20.5" x14ac:dyDescent="0.35">
      <c r="B32" s="51" t="s">
        <v>23</v>
      </c>
      <c r="C32" s="33"/>
      <c r="F32" s="2"/>
      <c r="G32" s="28"/>
    </row>
    <row r="33" spans="2:3" ht="20.5" x14ac:dyDescent="0.35">
      <c r="B33" s="52" t="s">
        <v>26</v>
      </c>
      <c r="C33" s="34"/>
    </row>
    <row r="34" spans="2:3" ht="20.5" x14ac:dyDescent="0.35">
      <c r="B34" s="52" t="s">
        <v>31</v>
      </c>
      <c r="C34" s="34"/>
    </row>
    <row r="35" spans="2:3" ht="20.5" x14ac:dyDescent="0.35">
      <c r="B35" s="52" t="s">
        <v>32</v>
      </c>
      <c r="C35" s="34"/>
    </row>
    <row r="36" spans="2:3" ht="20.5" x14ac:dyDescent="0.35">
      <c r="B36" s="52" t="s">
        <v>33</v>
      </c>
      <c r="C36" s="34"/>
    </row>
    <row r="37" spans="2:3" ht="20.5" x14ac:dyDescent="0.35">
      <c r="B37" s="52" t="s">
        <v>34</v>
      </c>
      <c r="C37" s="34"/>
    </row>
    <row r="38" spans="2:3" ht="20.5" x14ac:dyDescent="0.35">
      <c r="B38" s="52" t="s">
        <v>35</v>
      </c>
      <c r="C38" s="34"/>
    </row>
    <row r="39" spans="2:3" ht="20.5" x14ac:dyDescent="0.35">
      <c r="B39" s="52" t="s">
        <v>36</v>
      </c>
      <c r="C39" s="34"/>
    </row>
  </sheetData>
  <sheetProtection sheet="1" selectLockedCells="1"/>
  <mergeCells count="4">
    <mergeCell ref="U7:V7"/>
    <mergeCell ref="W7:X7"/>
    <mergeCell ref="S7:T7"/>
    <mergeCell ref="M7:P7"/>
  </mergeCells>
  <conditionalFormatting sqref="F9:T28 S29:T29">
    <cfRule type="expression" dxfId="1" priority="3">
      <formula>F9&gt;0</formula>
    </cfRule>
    <cfRule type="expression" dxfId="0" priority="4">
      <formula>F9&lt;0</formula>
    </cfRule>
  </conditionalFormatting>
  <dataValidations count="6">
    <dataValidation type="list" allowBlank="1" showInputMessage="1" showErrorMessage="1" sqref="E9" xr:uid="{73D13037-5846-4880-AEA1-3924ACD89AB9}">
      <formula1>$X$9:$X$13</formula1>
    </dataValidation>
    <dataValidation type="decimal" operator="greaterThanOrEqual" allowBlank="1" showInputMessage="1" showErrorMessage="1" error="Please input a value greater than 0." sqref="F9:F28 M9:O28" xr:uid="{E830E985-C63B-40F7-A3CD-1126D5403B0E}">
      <formula1>0</formula1>
    </dataValidation>
    <dataValidation type="decimal" operator="lessThanOrEqual" allowBlank="1" showInputMessage="1" showErrorMessage="1" error="Please input a value less than 0." sqref="G9:G28 J9:K28 P9:P28" xr:uid="{FA3980D7-9C8F-4D39-89CD-88BC4EF35523}">
      <formula1>0</formula1>
    </dataValidation>
    <dataValidation type="decimal" allowBlank="1" showInputMessage="1" showErrorMessage="1" error="Please enter a number" sqref="H9:I28" xr:uid="{160142C0-A6BF-432F-AC77-3ECABBF11185}">
      <formula1>-1000000000000000000</formula1>
      <formula2>100000000000000000</formula2>
    </dataValidation>
    <dataValidation type="decimal" allowBlank="1" showInputMessage="1" showErrorMessage="1" error="Please enter a number" sqref="L9:L28 Q9:Q28" xr:uid="{57FD2472-D580-4C57-AB00-33A5A6F2360F}">
      <formula1>-1E+21</formula1>
      <formula2>1E+24</formula2>
    </dataValidation>
    <dataValidation type="decimal" allowBlank="1" showInputMessage="1" showErrorMessage="1" error="Please enter a number" sqref="G2:G3" xr:uid="{82080DD9-7D48-4E7A-8B61-0E917835DD62}">
      <formula1>-1E+22</formula1>
      <formula2>1E+24</formula2>
    </dataValidation>
  </dataValidations>
  <pageMargins left="0.7" right="0.7" top="0.75" bottom="0.75" header="0.3" footer="0.3"/>
  <customProperties>
    <customPr name="EpmWorksheetKeyString_GUID" r:id="rId1"/>
  </customPropertie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00b5f185-b19a-4336-a4ec-f1b99802f1ef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D04F9C4777F141B8A3A04789083E55" ma:contentTypeVersion="17" ma:contentTypeDescription="Create a new document." ma:contentTypeScope="" ma:versionID="386970eb39f127d1e058654f819e47a5">
  <xsd:schema xmlns:xsd="http://www.w3.org/2001/XMLSchema" xmlns:xs="http://www.w3.org/2001/XMLSchema" xmlns:p="http://schemas.microsoft.com/office/2006/metadata/properties" xmlns:ns2="715ff0d0-d9d5-4557-9b0d-bdfbaad2b630" xmlns:ns3="5cc29224-5b6b-41dc-99a1-37632ad85263" xmlns:ns4="07e397c1-4dcd-4254-bcef-c5032c2d906f" targetNamespace="http://schemas.microsoft.com/office/2006/metadata/properties" ma:root="true" ma:fieldsID="f6c0748c34a99247144ba1a60b67e7e0" ns2:_="" ns3:_="" ns4:_="">
    <xsd:import namespace="715ff0d0-d9d5-4557-9b0d-bdfbaad2b630"/>
    <xsd:import namespace="5cc29224-5b6b-41dc-99a1-37632ad85263"/>
    <xsd:import namespace="07e397c1-4dcd-4254-bcef-c5032c2d90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ff0d0-d9d5-4557-9b0d-bdfbaad2b6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0b5f185-b19a-4336-a4ec-f1b99802f1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c29224-5b6b-41dc-99a1-37632ad85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397c1-4dcd-4254-bcef-c5032c2d90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870daf-92c0-4a09-95fb-dd7da44fd488}" ma:internalName="TaxCatchAll" ma:showField="CatchAllData" ma:web="5cc29224-5b6b-41dc-99a1-37632ad852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5ff0d0-d9d5-4557-9b0d-bdfbaad2b630">
      <Terms xmlns="http://schemas.microsoft.com/office/infopath/2007/PartnerControls"/>
    </lcf76f155ced4ddcb4097134ff3c332f>
    <TaxCatchAll xmlns="07e397c1-4dcd-4254-bcef-c5032c2d906f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2BF602-87D1-4FAA-A278-9D58B5BEEC6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A69308B-D0C4-45EC-B83F-DEE00D50D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5ff0d0-d9d5-4557-9b0d-bdfbaad2b630"/>
    <ds:schemaRef ds:uri="5cc29224-5b6b-41dc-99a1-37632ad85263"/>
    <ds:schemaRef ds:uri="07e397c1-4dcd-4254-bcef-c5032c2d9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6922F4-4836-4EF7-934E-136330F1AEB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F8F4F1E-0310-45C5-BFE0-3B11C7BF1038}">
  <ds:schemaRefs>
    <ds:schemaRef ds:uri="http://schemas.microsoft.com/office/2006/metadata/properties"/>
    <ds:schemaRef ds:uri="http://schemas.microsoft.com/office/infopath/2007/PartnerControls"/>
    <ds:schemaRef ds:uri="715ff0d0-d9d5-4557-9b0d-bdfbaad2b630"/>
    <ds:schemaRef ds:uri="07e397c1-4dcd-4254-bcef-c5032c2d906f"/>
  </ds:schemaRefs>
</ds:datastoreItem>
</file>

<file path=customXml/itemProps5.xml><?xml version="1.0" encoding="utf-8"?>
<ds:datastoreItem xmlns:ds="http://schemas.openxmlformats.org/officeDocument/2006/customXml" ds:itemID="{49A0C963-26B4-4448-8450-7CF6F77C3C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Faqir, Mahmoud</dc:creator>
  <cp:lastModifiedBy>Faqir, Mahmoud</cp:lastModifiedBy>
  <dcterms:created xsi:type="dcterms:W3CDTF">2025-07-22T08:58:51Z</dcterms:created>
  <dcterms:modified xsi:type="dcterms:W3CDTF">2026-07-15T12:01:42Z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0x0101007AD04F9C4777F141B8A3A04789083E55</vt:lpwstr>
  </property>
</Properties>
</file>